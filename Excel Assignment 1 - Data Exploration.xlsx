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A178DF95-2D21-40E2-B286-47AFC3F765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set" sheetId="1" r:id="rId1"/>
    <sheet name="Assignment 1 " sheetId="2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2" l="1"/>
  <c r="L35" i="2"/>
  <c r="K35" i="2"/>
  <c r="J35" i="2"/>
  <c r="G35" i="2"/>
  <c r="L34" i="2"/>
  <c r="K34" i="2"/>
  <c r="J34" i="2"/>
  <c r="G34" i="2"/>
  <c r="L33" i="2"/>
  <c r="K33" i="2"/>
  <c r="J33" i="2"/>
  <c r="G33" i="2"/>
  <c r="L32" i="2"/>
  <c r="K32" i="2"/>
  <c r="J32" i="2"/>
  <c r="G32" i="2"/>
  <c r="L31" i="2"/>
  <c r="K31" i="2"/>
  <c r="J31" i="2"/>
  <c r="G31" i="2"/>
  <c r="L30" i="2"/>
  <c r="K30" i="2"/>
  <c r="J30" i="2"/>
  <c r="G30" i="2"/>
  <c r="L29" i="2"/>
  <c r="K29" i="2"/>
  <c r="J29" i="2"/>
  <c r="G29" i="2"/>
  <c r="L28" i="2"/>
  <c r="K28" i="2"/>
  <c r="J28" i="2"/>
  <c r="G28" i="2"/>
  <c r="L27" i="2"/>
  <c r="K27" i="2"/>
  <c r="J27" i="2"/>
  <c r="G27" i="2"/>
  <c r="L26" i="2"/>
  <c r="K26" i="2"/>
  <c r="J26" i="2"/>
  <c r="G26" i="2"/>
  <c r="L25" i="2"/>
  <c r="K25" i="2"/>
  <c r="J25" i="2"/>
  <c r="G25" i="2"/>
  <c r="L24" i="2"/>
  <c r="K24" i="2"/>
  <c r="J24" i="2"/>
  <c r="G24" i="2"/>
  <c r="L23" i="2"/>
  <c r="K23" i="2"/>
  <c r="J23" i="2"/>
  <c r="G23" i="2"/>
  <c r="L22" i="2"/>
  <c r="K22" i="2"/>
  <c r="J22" i="2"/>
  <c r="G22" i="2"/>
  <c r="L21" i="2"/>
  <c r="K21" i="2"/>
  <c r="J21" i="2"/>
  <c r="G21" i="2"/>
  <c r="L20" i="2"/>
  <c r="K20" i="2"/>
  <c r="J20" i="2"/>
  <c r="G20" i="2"/>
  <c r="L19" i="2"/>
  <c r="K19" i="2"/>
  <c r="J19" i="2"/>
  <c r="G19" i="2"/>
  <c r="L18" i="2"/>
  <c r="K18" i="2"/>
  <c r="J18" i="2"/>
  <c r="G18" i="2"/>
  <c r="L17" i="2"/>
  <c r="K17" i="2"/>
  <c r="J17" i="2"/>
  <c r="G17" i="2"/>
  <c r="L16" i="2"/>
  <c r="K16" i="2"/>
  <c r="J16" i="2"/>
  <c r="G16" i="2"/>
  <c r="L15" i="2"/>
  <c r="K15" i="2"/>
  <c r="J15" i="2"/>
  <c r="G15" i="2"/>
  <c r="L14" i="2"/>
  <c r="K14" i="2"/>
  <c r="J14" i="2"/>
  <c r="G14" i="2"/>
  <c r="L13" i="2"/>
  <c r="K13" i="2"/>
  <c r="J13" i="2"/>
  <c r="G13" i="2"/>
  <c r="L12" i="2"/>
  <c r="K12" i="2"/>
  <c r="J12" i="2"/>
  <c r="G12" i="2"/>
  <c r="L11" i="2"/>
  <c r="K11" i="2"/>
  <c r="J11" i="2"/>
  <c r="G11" i="2"/>
  <c r="L10" i="2"/>
  <c r="K10" i="2"/>
  <c r="J10" i="2"/>
  <c r="G10" i="2"/>
  <c r="L9" i="2"/>
  <c r="K9" i="2"/>
  <c r="J9" i="2"/>
  <c r="G9" i="2"/>
  <c r="L8" i="2"/>
  <c r="K8" i="2"/>
  <c r="J8" i="2"/>
  <c r="I8" i="2"/>
  <c r="G8" i="2"/>
  <c r="L7" i="2"/>
  <c r="K7" i="2"/>
  <c r="J7" i="2"/>
  <c r="I7" i="2"/>
  <c r="G7" i="2"/>
  <c r="L6" i="2"/>
  <c r="K6" i="2"/>
  <c r="J6" i="2"/>
  <c r="I6" i="2"/>
  <c r="G6" i="2"/>
  <c r="L5" i="2"/>
  <c r="K5" i="2"/>
  <c r="J5" i="2"/>
  <c r="I5" i="2"/>
  <c r="G5" i="2"/>
  <c r="L4" i="2"/>
  <c r="K4" i="2"/>
  <c r="J4" i="2"/>
  <c r="I4" i="2"/>
  <c r="G4" i="2"/>
  <c r="L3" i="2"/>
  <c r="K3" i="2"/>
  <c r="J3" i="2"/>
  <c r="I3" i="2"/>
  <c r="G3" i="2"/>
  <c r="L2" i="2"/>
  <c r="K2" i="2"/>
  <c r="J2" i="2"/>
  <c r="G2" i="2"/>
</calcChain>
</file>

<file path=xl/sharedStrings.xml><?xml version="1.0" encoding="utf-8"?>
<sst xmlns="http://schemas.openxmlformats.org/spreadsheetml/2006/main" count="310" uniqueCount="119">
  <si>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</si>
  <si>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</si>
  <si>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</si>
  <si>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</si>
  <si>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</si>
  <si>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</si>
  <si>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</si>
  <si>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</si>
  <si>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</si>
  <si>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</si>
  <si>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</si>
  <si>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</si>
  <si>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</si>
  <si>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</si>
  <si>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</si>
  <si>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</si>
  <si>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</si>
  <si>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</si>
  <si>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</si>
  <si>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</si>
  <si>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</si>
  <si>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</si>
  <si>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</si>
  <si>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</si>
  <si>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</si>
  <si>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</si>
  <si>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</si>
  <si>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</si>
  <si>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</si>
  <si>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</si>
  <si>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</si>
  <si>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</si>
  <si>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</si>
  <si>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</si>
  <si>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</si>
  <si>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</si>
  <si>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</si>
  <si>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</si>
  <si>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</si>
  <si>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</si>
  <si>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</si>
  <si>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</si>
  <si>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</si>
  <si>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</si>
  <si>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</si>
  <si>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</si>
  <si>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</si>
  <si>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</si>
  <si>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</si>
  <si>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</si>
  <si>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</si>
  <si>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</si>
  <si>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</si>
  <si>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</si>
  <si>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</si>
  <si>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</si>
  <si>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</si>
  <si>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</si>
  <si>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</si>
  <si>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</si>
  <si>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</si>
  <si>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</si>
  <si>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</si>
  <si>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</si>
  <si>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</si>
  <si>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</si>
  <si>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</si>
  <si>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</si>
  <si>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</si>
  <si>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</si>
  <si>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</si>
  <si>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</si>
  <si>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</si>
  <si>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</si>
  <si>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</si>
  <si>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</si>
  <si>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</si>
  <si>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</si>
  <si>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</si>
  <si>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</si>
  <si>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</si>
  <si>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</si>
  <si>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</si>
  <si>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</si>
  <si>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</si>
  <si>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</si>
  <si>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</si>
  <si>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</si>
  <si>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</si>
  <si>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</si>
  <si>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</si>
  <si>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</si>
  <si>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</si>
  <si>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</si>
  <si>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Calculation</t>
  </si>
  <si>
    <t>Result</t>
  </si>
  <si>
    <t>Day</t>
  </si>
  <si>
    <t>Country Code</t>
  </si>
  <si>
    <t>Month</t>
  </si>
  <si>
    <t>Total Price</t>
  </si>
  <si>
    <t>Number of Products</t>
  </si>
  <si>
    <t>Average Price</t>
  </si>
  <si>
    <t>Minimum Price</t>
  </si>
  <si>
    <t>Maximum Price</t>
  </si>
  <si>
    <t>Electronics Total Price</t>
  </si>
  <si>
    <t>Products Below $100</t>
  </si>
  <si>
    <t>Observations</t>
  </si>
  <si>
    <t>1. Explored the raw dataset and created a separate worksheet for the assignment.</t>
  </si>
  <si>
    <t>2. Used Excel formulas to perform basic data calculations.</t>
  </si>
  <si>
    <t>3. Used IF() to categorize products into High Price and Standard Price.</t>
  </si>
  <si>
    <t>4. Used SUM() to calculate the total price.</t>
  </si>
  <si>
    <t>5. Used COUNT() to calculate the number of products.</t>
  </si>
  <si>
    <t>6. Used AVERAGE() to calculate the average price.</t>
  </si>
  <si>
    <t>7. Used MIN() and MAX() to identify the minimum and maximum prices.</t>
  </si>
  <si>
    <t>8. Used SUMIF() to calculate the total price for Electronics products.</t>
  </si>
  <si>
    <t>9. Used COUNTIF() to count products priced below $100.</t>
  </si>
  <si>
    <t>10. Used LEFT(), MID(), and RIGHT() to extract the Day, Month, and Country Code from Product ID.</t>
  </si>
  <si>
    <t>11. Kept the original Raw Dataset unchanged and performed the analysis in the Assignment 1 sheet.</t>
  </si>
  <si>
    <t>Excel Assignment 1 – Data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</si>
</sst>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79B2B-94D5-4C01-B75D-476A407F035A}" name="Table1" displayName="Table1" ref="A1:L35" totalsRowShown="0" headerRowDxfId="22" dataDxfId="20" headerRowBorderDxfId="21" tableBorderDxfId="19" totalsRowBorderDxfId="18">
  <autoFilter ref="A1:L35" xr:uid="{B1279B2B-94D5-4C01-B75D-476A407F03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E87B1D5-179D-4C4C-A4C8-A3BED480284A}" name="Product ID" dataDxfId="17"/>
    <tableColumn id="2" xr3:uid="{5898015C-7CA7-480B-BCC9-67D4B13492B4}" name="Product Name" dataDxfId="16"/>
    <tableColumn id="3" xr3:uid="{4D58638C-7FFF-47DC-9049-D70F973D8E1C}" name="Brand Name" dataDxfId="15"/>
    <tableColumn id="4" xr3:uid="{3B866AB7-F6C2-40FD-9D32-929D48EEDB90}" name="Price ($)" dataDxfId="14"/>
    <tableColumn id="5" xr3:uid="{1E13B43C-66AC-4A88-9C26-EE09AF965250}" name="Quantity" dataDxfId="13"/>
    <tableColumn id="6" xr3:uid="{C1C809DC-8927-4C16-9221-69DF08308456}" name="Category" dataDxfId="12"/>
    <tableColumn id="7" xr3:uid="{DBE9EB35-6286-4154-AD62-FC4A3FC97DF8}" name="Price Range" dataDxfId="11">
      <calculatedColumnFormula>IF(D2&gt;=500,"High Price","Standard price")</calculatedColumnFormula>
    </tableColumn>
    <tableColumn id="8" xr3:uid="{926DD1EC-7F68-48B6-8057-F4D97FA3ED7A}" name="Calculation" dataDxfId="10"/>
    <tableColumn id="9" xr3:uid="{16C9C364-A887-455A-9377-0AFCA5F38503}" name="Result" dataDxfId="9"/>
    <tableColumn id="10" xr3:uid="{4D2E00C0-1268-49C4-A538-CA3999D265CE}" name="Day" dataDxfId="8">
      <calculatedColumnFormula>LEFT(A2,2)</calculatedColumnFormula>
    </tableColumn>
    <tableColumn id="11" xr3:uid="{A1A26839-774D-4EAD-8F9C-D0B145B8BFCE}" name="Country Code" dataDxfId="7">
      <calculatedColumnFormula>RIGHT(A2,2)</calculatedColumnFormula>
    </tableColumn>
    <tableColumn id="12" xr3:uid="{86D9A5B9-11E1-4E91-BBD8-36748AF33147}" name="Month" dataDxfId="6">
      <calculatedColumnFormula>MID(A2,4,3)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C4AE97-FFDF-4AE4-9AB6-907F7C122C79}" name="Table2" displayName="Table2" ref="I3:I15" totalsRowShown="0" headerRowDxfId="5" dataDxfId="3" headerRowBorderDxfId="4" tableBorderDxfId="2" totalsRowBorderDxfId="1">
  <autoFilter ref="I3:I15" xr:uid="{8FC4AE97-FFDF-4AE4-9AB6-907F7C122C79}">
    <filterColumn colId="0" hiddenButton="1"/>
  </autoFilter>
  <tableColumns count="1">
    <tableColumn id="1" xr3:uid="{73B5CD70-1F81-474D-9C8E-15A0CB845C8D}" name="Observations" dataDxfId="0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H4" sqref="H4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042C-A33B-4F13-96D8-2D3F511BF939}">
  <sheetPr>
    <tabColor theme="6"/>
  </sheetPr>
  <dimension ref="A1:L35"/>
  <sheetViews>
    <sheetView tabSelected="1" workbookViewId="0">
      <selection activeCell="M3" sqref="M3"/>
    </sheetView>
  </sheetViews>
  <sheetFormatPr defaultRowHeight="13.2" x14ac:dyDescent="0.25"/>
  <cols>
    <col min="1" max="1" width="21.77734375" customWidth="1"/>
    <col min="2" max="2" width="18.6640625" style="24" customWidth="1"/>
    <col min="3" max="3" width="18.44140625" style="24" customWidth="1"/>
    <col min="4" max="4" width="12.6640625" customWidth="1"/>
    <col min="5" max="5" width="12.21875" customWidth="1"/>
    <col min="6" max="6" width="15.33203125" customWidth="1"/>
    <col min="7" max="7" width="21.21875" customWidth="1"/>
    <col min="8" max="8" width="26.77734375" style="26" customWidth="1"/>
    <col min="9" max="9" width="13.44140625" customWidth="1"/>
    <col min="10" max="10" width="9.21875" customWidth="1"/>
    <col min="11" max="11" width="17.21875" customWidth="1"/>
    <col min="12" max="12" width="12.44140625" customWidth="1"/>
  </cols>
  <sheetData>
    <row r="1" spans="1:12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93</v>
      </c>
      <c r="H1" s="25" t="s">
        <v>94</v>
      </c>
      <c r="I1" s="18" t="s">
        <v>95</v>
      </c>
      <c r="J1" s="18" t="s">
        <v>96</v>
      </c>
      <c r="K1" s="18" t="s">
        <v>97</v>
      </c>
      <c r="L1" s="19" t="s">
        <v>98</v>
      </c>
    </row>
    <row r="2" spans="1:12" ht="15" customHeight="1" x14ac:dyDescent="0.25">
      <c r="A2" s="12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6" t="str">
        <f>IF(D2&gt;=500,"High Price","Standard price")</f>
        <v>High Price</v>
      </c>
      <c r="H2" s="6" t="s">
        <v>99</v>
      </c>
      <c r="I2" s="7">
        <f>SUM(D2:D35)</f>
        <v>10100</v>
      </c>
      <c r="J2" s="6" t="str">
        <f>LEFT(A2,2)</f>
        <v>28</v>
      </c>
      <c r="K2" s="6" t="str">
        <f>RIGHT(A2,2)</f>
        <v>US</v>
      </c>
      <c r="L2" s="14" t="str">
        <f>MID(A2,4,3)</f>
        <v>JAN</v>
      </c>
    </row>
    <row r="3" spans="1:12" ht="15" customHeight="1" x14ac:dyDescent="0.25">
      <c r="A3" s="13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8" t="str">
        <f t="shared" ref="G3:G35" si="0">IF(D3&gt;=500,"High Price","Standard price")</f>
        <v>Standard price</v>
      </c>
      <c r="H3" s="8" t="s">
        <v>100</v>
      </c>
      <c r="I3" s="9">
        <f>COUNT(D2:D35)</f>
        <v>34</v>
      </c>
      <c r="J3" s="8" t="str">
        <f t="shared" ref="J3:J35" si="1">LEFT(A3,2)</f>
        <v>15</v>
      </c>
      <c r="K3" s="8" t="str">
        <f t="shared" ref="K3:K35" si="2">RIGHT(A3,2)</f>
        <v>US</v>
      </c>
      <c r="L3" s="15" t="str">
        <f t="shared" ref="L3:L35" si="3">MID(A3,4,3)</f>
        <v>FEB</v>
      </c>
    </row>
    <row r="4" spans="1:12" ht="15" customHeight="1" x14ac:dyDescent="0.25">
      <c r="A4" s="12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6" t="str">
        <f t="shared" si="0"/>
        <v>Standard price</v>
      </c>
      <c r="H4" s="6" t="s">
        <v>101</v>
      </c>
      <c r="I4" s="10">
        <f>AVERAGE(D2:D35)</f>
        <v>297.05882352941177</v>
      </c>
      <c r="J4" s="11" t="str">
        <f t="shared" si="1"/>
        <v>03</v>
      </c>
      <c r="K4" s="11" t="str">
        <f t="shared" si="2"/>
        <v>US</v>
      </c>
      <c r="L4" s="16" t="str">
        <f t="shared" si="3"/>
        <v>MAR</v>
      </c>
    </row>
    <row r="5" spans="1:12" ht="15" customHeight="1" x14ac:dyDescent="0.25">
      <c r="A5" s="13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8" t="str">
        <f t="shared" si="0"/>
        <v>High Price</v>
      </c>
      <c r="H5" s="8" t="s">
        <v>102</v>
      </c>
      <c r="I5" s="9">
        <f>MIN(D2:D35)</f>
        <v>30</v>
      </c>
      <c r="J5" s="8" t="str">
        <f t="shared" si="1"/>
        <v>11</v>
      </c>
      <c r="K5" s="8" t="str">
        <f t="shared" si="2"/>
        <v>US</v>
      </c>
      <c r="L5" s="15" t="str">
        <f t="shared" si="3"/>
        <v>APR</v>
      </c>
    </row>
    <row r="6" spans="1:12" ht="15" customHeight="1" x14ac:dyDescent="0.25">
      <c r="A6" s="12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6" t="str">
        <f t="shared" si="0"/>
        <v>Standard price</v>
      </c>
      <c r="H6" s="6" t="s">
        <v>103</v>
      </c>
      <c r="I6" s="7">
        <f>MAX(D2:D35)</f>
        <v>1000</v>
      </c>
      <c r="J6" s="6" t="str">
        <f t="shared" si="1"/>
        <v>22</v>
      </c>
      <c r="K6" s="6" t="str">
        <f t="shared" si="2"/>
        <v>US</v>
      </c>
      <c r="L6" s="14" t="str">
        <f t="shared" si="3"/>
        <v>MAY</v>
      </c>
    </row>
    <row r="7" spans="1:12" ht="15" customHeight="1" x14ac:dyDescent="0.25">
      <c r="A7" s="13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8" t="str">
        <f t="shared" si="0"/>
        <v>Standard price</v>
      </c>
      <c r="H7" s="8" t="s">
        <v>104</v>
      </c>
      <c r="I7" s="9">
        <f>SUMIF(F2:F35,"Electronics",D2:D35)</f>
        <v>8050</v>
      </c>
      <c r="J7" s="8" t="str">
        <f t="shared" si="1"/>
        <v>07</v>
      </c>
      <c r="K7" s="8" t="str">
        <f t="shared" si="2"/>
        <v>UK</v>
      </c>
      <c r="L7" s="15" t="str">
        <f t="shared" si="3"/>
        <v>JUN</v>
      </c>
    </row>
    <row r="8" spans="1:12" ht="15" customHeight="1" x14ac:dyDescent="0.25">
      <c r="A8" s="12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6" t="str">
        <f t="shared" si="0"/>
        <v>Standard price</v>
      </c>
      <c r="H8" s="6" t="s">
        <v>105</v>
      </c>
      <c r="I8" s="7">
        <f>COUNTIF(D2:D35,"&lt;100")</f>
        <v>11</v>
      </c>
      <c r="J8" s="6" t="str">
        <f t="shared" si="1"/>
        <v>19</v>
      </c>
      <c r="K8" s="6" t="str">
        <f t="shared" si="2"/>
        <v>UK</v>
      </c>
      <c r="L8" s="14" t="str">
        <f t="shared" si="3"/>
        <v>JUL</v>
      </c>
    </row>
    <row r="9" spans="1:12" ht="15" customHeight="1" x14ac:dyDescent="0.25">
      <c r="A9" s="13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8" t="str">
        <f t="shared" si="0"/>
        <v>Standard price</v>
      </c>
      <c r="H9" s="8"/>
      <c r="I9" s="9"/>
      <c r="J9" s="8" t="str">
        <f t="shared" si="1"/>
        <v>23</v>
      </c>
      <c r="K9" s="8" t="str">
        <f t="shared" si="2"/>
        <v>UK</v>
      </c>
      <c r="L9" s="15" t="str">
        <f t="shared" si="3"/>
        <v>AUG</v>
      </c>
    </row>
    <row r="10" spans="1:12" ht="15" customHeight="1" x14ac:dyDescent="0.25">
      <c r="A10" s="12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6" t="str">
        <f t="shared" si="0"/>
        <v>High Price</v>
      </c>
      <c r="H10" s="6"/>
      <c r="I10" s="7"/>
      <c r="J10" s="6" t="str">
        <f t="shared" si="1"/>
        <v>05</v>
      </c>
      <c r="K10" s="6" t="str">
        <f t="shared" si="2"/>
        <v>UK</v>
      </c>
      <c r="L10" s="14" t="str">
        <f t="shared" si="3"/>
        <v>SEP</v>
      </c>
    </row>
    <row r="11" spans="1:12" ht="15" customHeight="1" x14ac:dyDescent="0.25">
      <c r="A11" s="13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8" t="str">
        <f t="shared" si="0"/>
        <v>Standard price</v>
      </c>
      <c r="H11" s="8"/>
      <c r="I11" s="9"/>
      <c r="J11" s="8" t="str">
        <f t="shared" si="1"/>
        <v>14</v>
      </c>
      <c r="K11" s="8" t="str">
        <f t="shared" si="2"/>
        <v>UK</v>
      </c>
      <c r="L11" s="15" t="str">
        <f t="shared" si="3"/>
        <v>OCT</v>
      </c>
    </row>
    <row r="12" spans="1:12" ht="15" customHeight="1" x14ac:dyDescent="0.25">
      <c r="A12" s="12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6" t="str">
        <f t="shared" si="0"/>
        <v>High Price</v>
      </c>
      <c r="H12" s="6"/>
      <c r="I12" s="7"/>
      <c r="J12" s="6" t="str">
        <f t="shared" si="1"/>
        <v>17</v>
      </c>
      <c r="K12" s="6" t="str">
        <f t="shared" si="2"/>
        <v>IN</v>
      </c>
      <c r="L12" s="14" t="str">
        <f t="shared" si="3"/>
        <v>JUN</v>
      </c>
    </row>
    <row r="13" spans="1:12" ht="15" customHeight="1" x14ac:dyDescent="0.25">
      <c r="A13" s="13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8" t="str">
        <f t="shared" si="0"/>
        <v>Standard price</v>
      </c>
      <c r="H13" s="8"/>
      <c r="I13" s="9"/>
      <c r="J13" s="8" t="str">
        <f t="shared" si="1"/>
        <v>25</v>
      </c>
      <c r="K13" s="8" t="str">
        <f t="shared" si="2"/>
        <v>AU</v>
      </c>
      <c r="L13" s="15" t="str">
        <f t="shared" si="3"/>
        <v>NOV</v>
      </c>
    </row>
    <row r="14" spans="1:12" ht="15" customHeight="1" x14ac:dyDescent="0.25">
      <c r="A14" s="12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6" t="str">
        <f t="shared" si="0"/>
        <v>Standard price</v>
      </c>
      <c r="H14" s="6"/>
      <c r="I14" s="7"/>
      <c r="J14" s="6" t="str">
        <f t="shared" si="1"/>
        <v>08</v>
      </c>
      <c r="K14" s="6" t="str">
        <f t="shared" si="2"/>
        <v>DE</v>
      </c>
      <c r="L14" s="14" t="str">
        <f t="shared" si="3"/>
        <v>DEC</v>
      </c>
    </row>
    <row r="15" spans="1:12" ht="15" customHeight="1" x14ac:dyDescent="0.25">
      <c r="A15" s="13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8" t="str">
        <f t="shared" si="0"/>
        <v>Standard price</v>
      </c>
      <c r="H15" s="8"/>
      <c r="I15" s="9"/>
      <c r="J15" s="8" t="str">
        <f t="shared" si="1"/>
        <v>18</v>
      </c>
      <c r="K15" s="8" t="str">
        <f t="shared" si="2"/>
        <v>CA</v>
      </c>
      <c r="L15" s="15" t="str">
        <f t="shared" si="3"/>
        <v>FEB</v>
      </c>
    </row>
    <row r="16" spans="1:12" ht="15" customHeight="1" x14ac:dyDescent="0.25">
      <c r="A16" s="12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6" t="str">
        <f t="shared" si="0"/>
        <v>Standard price</v>
      </c>
      <c r="H16" s="6"/>
      <c r="I16" s="7"/>
      <c r="J16" s="6" t="str">
        <f t="shared" si="1"/>
        <v>16</v>
      </c>
      <c r="K16" s="6" t="str">
        <f t="shared" si="2"/>
        <v>ES</v>
      </c>
      <c r="L16" s="14" t="str">
        <f t="shared" si="3"/>
        <v>APR</v>
      </c>
    </row>
    <row r="17" spans="1:12" ht="15" customHeight="1" x14ac:dyDescent="0.25">
      <c r="A17" s="13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8" t="str">
        <f t="shared" si="0"/>
        <v>Standard price</v>
      </c>
      <c r="H17" s="8"/>
      <c r="I17" s="9"/>
      <c r="J17" s="8" t="str">
        <f t="shared" si="1"/>
        <v>21</v>
      </c>
      <c r="K17" s="8" t="str">
        <f t="shared" si="2"/>
        <v>CA</v>
      </c>
      <c r="L17" s="15" t="str">
        <f t="shared" si="3"/>
        <v>AUG</v>
      </c>
    </row>
    <row r="18" spans="1:12" ht="15" customHeight="1" x14ac:dyDescent="0.25">
      <c r="A18" s="12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6" t="str">
        <f t="shared" si="0"/>
        <v>Standard price</v>
      </c>
      <c r="H18" s="6"/>
      <c r="I18" s="7"/>
      <c r="J18" s="6" t="str">
        <f t="shared" si="1"/>
        <v>20</v>
      </c>
      <c r="K18" s="6" t="str">
        <f t="shared" si="2"/>
        <v>CN</v>
      </c>
      <c r="L18" s="14" t="str">
        <f t="shared" si="3"/>
        <v>AUG</v>
      </c>
    </row>
    <row r="19" spans="1:12" ht="15" customHeight="1" x14ac:dyDescent="0.25">
      <c r="A19" s="13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8" t="str">
        <f t="shared" si="0"/>
        <v>High Price</v>
      </c>
      <c r="H19" s="8"/>
      <c r="I19" s="9"/>
      <c r="J19" s="8" t="str">
        <f t="shared" si="1"/>
        <v>27</v>
      </c>
      <c r="K19" s="8" t="str">
        <f t="shared" si="2"/>
        <v>IT</v>
      </c>
      <c r="L19" s="15" t="str">
        <f t="shared" si="3"/>
        <v>JAN</v>
      </c>
    </row>
    <row r="20" spans="1:12" ht="15" customHeight="1" x14ac:dyDescent="0.25">
      <c r="A20" s="12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6" t="str">
        <f t="shared" si="0"/>
        <v>Standard price</v>
      </c>
      <c r="H20" s="6"/>
      <c r="I20" s="7"/>
      <c r="J20" s="6" t="str">
        <f t="shared" si="1"/>
        <v>01</v>
      </c>
      <c r="K20" s="6" t="str">
        <f t="shared" si="2"/>
        <v>UK</v>
      </c>
      <c r="L20" s="14" t="str">
        <f t="shared" si="3"/>
        <v>MAR</v>
      </c>
    </row>
    <row r="21" spans="1:12" ht="15" customHeight="1" x14ac:dyDescent="0.25">
      <c r="A21" s="13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8" t="str">
        <f t="shared" si="0"/>
        <v>Standard price</v>
      </c>
      <c r="H21" s="8"/>
      <c r="I21" s="9"/>
      <c r="J21" s="8" t="str">
        <f t="shared" si="1"/>
        <v>14</v>
      </c>
      <c r="K21" s="8" t="str">
        <f t="shared" si="2"/>
        <v>US</v>
      </c>
      <c r="L21" s="15" t="str">
        <f t="shared" si="3"/>
        <v>AUG</v>
      </c>
    </row>
    <row r="22" spans="1:12" ht="15" customHeight="1" x14ac:dyDescent="0.25">
      <c r="A22" s="12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6" t="str">
        <f t="shared" si="0"/>
        <v>High Price</v>
      </c>
      <c r="H22" s="6"/>
      <c r="I22" s="7"/>
      <c r="J22" s="6" t="str">
        <f t="shared" si="1"/>
        <v>14</v>
      </c>
      <c r="K22" s="6" t="str">
        <f t="shared" si="2"/>
        <v>RU</v>
      </c>
      <c r="L22" s="14" t="str">
        <f t="shared" si="3"/>
        <v>MAY</v>
      </c>
    </row>
    <row r="23" spans="1:12" ht="15" customHeight="1" x14ac:dyDescent="0.25">
      <c r="A23" s="13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8" t="str">
        <f t="shared" si="0"/>
        <v>Standard price</v>
      </c>
      <c r="H23" s="8"/>
      <c r="I23" s="9"/>
      <c r="J23" s="8" t="str">
        <f t="shared" si="1"/>
        <v>09</v>
      </c>
      <c r="K23" s="8" t="str">
        <f t="shared" si="2"/>
        <v>CA</v>
      </c>
      <c r="L23" s="15" t="str">
        <f t="shared" si="3"/>
        <v>JAN</v>
      </c>
    </row>
    <row r="24" spans="1:12" ht="15" customHeight="1" x14ac:dyDescent="0.25">
      <c r="A24" s="12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6" t="str">
        <f t="shared" si="0"/>
        <v>Standard price</v>
      </c>
      <c r="H24" s="6"/>
      <c r="I24" s="7"/>
      <c r="J24" s="6" t="str">
        <f t="shared" si="1"/>
        <v>19</v>
      </c>
      <c r="K24" s="6" t="str">
        <f t="shared" si="2"/>
        <v>BR</v>
      </c>
      <c r="L24" s="14" t="str">
        <f t="shared" si="3"/>
        <v>JUL</v>
      </c>
    </row>
    <row r="25" spans="1:12" ht="15" customHeight="1" x14ac:dyDescent="0.25">
      <c r="A25" s="13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8" t="str">
        <f t="shared" si="0"/>
        <v>Standard price</v>
      </c>
      <c r="H25" s="8"/>
      <c r="I25" s="9"/>
      <c r="J25" s="8" t="str">
        <f t="shared" si="1"/>
        <v>21</v>
      </c>
      <c r="K25" s="8" t="str">
        <f t="shared" si="2"/>
        <v>CA</v>
      </c>
      <c r="L25" s="15" t="str">
        <f t="shared" si="3"/>
        <v>AUG</v>
      </c>
    </row>
    <row r="26" spans="1:12" ht="15" customHeight="1" x14ac:dyDescent="0.25">
      <c r="A26" s="12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6" t="str">
        <f t="shared" si="0"/>
        <v>High Price</v>
      </c>
      <c r="H26" s="6"/>
      <c r="I26" s="7"/>
      <c r="J26" s="6" t="str">
        <f t="shared" si="1"/>
        <v>29</v>
      </c>
      <c r="K26" s="6" t="str">
        <f t="shared" si="2"/>
        <v>CA</v>
      </c>
      <c r="L26" s="14" t="str">
        <f t="shared" si="3"/>
        <v>SEP</v>
      </c>
    </row>
    <row r="27" spans="1:12" ht="15" customHeight="1" x14ac:dyDescent="0.25">
      <c r="A27" s="13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8" t="str">
        <f t="shared" si="0"/>
        <v>Standard price</v>
      </c>
      <c r="H27" s="8"/>
      <c r="I27" s="9"/>
      <c r="J27" s="8" t="str">
        <f t="shared" si="1"/>
        <v>03</v>
      </c>
      <c r="K27" s="8" t="str">
        <f t="shared" si="2"/>
        <v>CA</v>
      </c>
      <c r="L27" s="15" t="str">
        <f t="shared" si="3"/>
        <v>JUN</v>
      </c>
    </row>
    <row r="28" spans="1:12" ht="15" customHeight="1" x14ac:dyDescent="0.25">
      <c r="A28" s="12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6" t="str">
        <f t="shared" si="0"/>
        <v>Standard price</v>
      </c>
      <c r="H28" s="6"/>
      <c r="I28" s="7"/>
      <c r="J28" s="6" t="str">
        <f t="shared" si="1"/>
        <v>11</v>
      </c>
      <c r="K28" s="6" t="str">
        <f t="shared" si="2"/>
        <v>CA</v>
      </c>
      <c r="L28" s="14" t="str">
        <f t="shared" si="3"/>
        <v>JUL</v>
      </c>
    </row>
    <row r="29" spans="1:12" ht="15" customHeight="1" x14ac:dyDescent="0.25">
      <c r="A29" s="13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8" t="str">
        <f t="shared" si="0"/>
        <v>Standard price</v>
      </c>
      <c r="H29" s="8"/>
      <c r="I29" s="9"/>
      <c r="J29" s="8" t="str">
        <f t="shared" si="1"/>
        <v>16</v>
      </c>
      <c r="K29" s="8" t="str">
        <f t="shared" si="2"/>
        <v>ES</v>
      </c>
      <c r="L29" s="15" t="str">
        <f t="shared" si="3"/>
        <v>APR</v>
      </c>
    </row>
    <row r="30" spans="1:12" ht="15" customHeight="1" x14ac:dyDescent="0.25">
      <c r="A30" s="12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6" t="str">
        <f t="shared" si="0"/>
        <v>Standard price</v>
      </c>
      <c r="H30" s="6"/>
      <c r="I30" s="7"/>
      <c r="J30" s="6" t="str">
        <f t="shared" si="1"/>
        <v>07</v>
      </c>
      <c r="K30" s="6" t="str">
        <f t="shared" si="2"/>
        <v>CA</v>
      </c>
      <c r="L30" s="14" t="str">
        <f t="shared" si="3"/>
        <v>MAR</v>
      </c>
    </row>
    <row r="31" spans="1:12" ht="15" customHeight="1" x14ac:dyDescent="0.25">
      <c r="A31" s="13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8" t="str">
        <f t="shared" si="0"/>
        <v>Standard price</v>
      </c>
      <c r="H31" s="8"/>
      <c r="I31" s="9"/>
      <c r="J31" s="8" t="str">
        <f t="shared" si="1"/>
        <v>13</v>
      </c>
      <c r="K31" s="8" t="str">
        <f t="shared" si="2"/>
        <v>CA</v>
      </c>
      <c r="L31" s="15" t="str">
        <f t="shared" si="3"/>
        <v>APR</v>
      </c>
    </row>
    <row r="32" spans="1:12" ht="15" customHeight="1" x14ac:dyDescent="0.25">
      <c r="A32" s="12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6" t="str">
        <f t="shared" si="0"/>
        <v>Standard price</v>
      </c>
      <c r="H32" s="6"/>
      <c r="I32" s="7"/>
      <c r="J32" s="6" t="str">
        <f t="shared" si="1"/>
        <v>24</v>
      </c>
      <c r="K32" s="6" t="str">
        <f t="shared" si="2"/>
        <v>CA</v>
      </c>
      <c r="L32" s="14" t="str">
        <f t="shared" si="3"/>
        <v>MAY</v>
      </c>
    </row>
    <row r="33" spans="1:12" ht="15" customHeight="1" x14ac:dyDescent="0.25">
      <c r="A33" s="13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8" t="str">
        <f t="shared" si="0"/>
        <v>Standard price</v>
      </c>
      <c r="H33" s="8"/>
      <c r="I33" s="9"/>
      <c r="J33" s="8" t="str">
        <f t="shared" si="1"/>
        <v>02</v>
      </c>
      <c r="K33" s="8" t="str">
        <f t="shared" si="2"/>
        <v>CA</v>
      </c>
      <c r="L33" s="15" t="str">
        <f t="shared" si="3"/>
        <v>DEC</v>
      </c>
    </row>
    <row r="34" spans="1:12" ht="15" customHeight="1" x14ac:dyDescent="0.25">
      <c r="A34" s="12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6" t="str">
        <f t="shared" si="0"/>
        <v>High Price</v>
      </c>
      <c r="H34" s="6"/>
      <c r="I34" s="7"/>
      <c r="J34" s="6" t="str">
        <f t="shared" si="1"/>
        <v>17</v>
      </c>
      <c r="K34" s="6" t="str">
        <f t="shared" si="2"/>
        <v>IN</v>
      </c>
      <c r="L34" s="14" t="str">
        <f t="shared" si="3"/>
        <v>JUN</v>
      </c>
    </row>
    <row r="35" spans="1:12" ht="15" customHeight="1" x14ac:dyDescent="0.25">
      <c r="A35" s="20" t="s">
        <v>90</v>
      </c>
      <c r="B35" s="21" t="s">
        <v>91</v>
      </c>
      <c r="C35" s="21" t="s">
        <v>92</v>
      </c>
      <c r="D35" s="21">
        <v>100</v>
      </c>
      <c r="E35" s="21">
        <v>20</v>
      </c>
      <c r="F35" s="21" t="s">
        <v>53</v>
      </c>
      <c r="G35" s="21" t="str">
        <f t="shared" si="0"/>
        <v>Standard price</v>
      </c>
      <c r="H35" s="21"/>
      <c r="I35" s="22"/>
      <c r="J35" s="21" t="str">
        <f t="shared" si="1"/>
        <v>09</v>
      </c>
      <c r="K35" s="21" t="str">
        <f t="shared" si="2"/>
        <v>FR</v>
      </c>
      <c r="L35" s="23" t="str">
        <f t="shared" si="3"/>
        <v>JUL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0B36-926B-4766-BFE2-4E1FE8008B7B}">
  <sheetPr>
    <tabColor theme="6"/>
  </sheetPr>
  <dimension ref="A2:J17"/>
  <sheetViews>
    <sheetView workbookViewId="0">
      <selection activeCell="L6" sqref="L6"/>
    </sheetView>
  </sheetViews>
  <sheetFormatPr defaultRowHeight="15" customHeight="1" x14ac:dyDescent="0.25"/>
  <cols>
    <col min="2" max="2" width="15.6640625" style="24" customWidth="1"/>
    <col min="5" max="5" width="5.77734375" customWidth="1"/>
    <col min="6" max="7" width="8.88671875" hidden="1" customWidth="1"/>
    <col min="8" max="8" width="6.6640625" customWidth="1"/>
    <col min="9" max="9" width="84.33203125" customWidth="1"/>
  </cols>
  <sheetData>
    <row r="2" spans="1:10" ht="15" customHeight="1" x14ac:dyDescent="0.25">
      <c r="I2" s="27"/>
    </row>
    <row r="3" spans="1:10" ht="25.05" customHeight="1" x14ac:dyDescent="0.25">
      <c r="A3" s="28"/>
      <c r="B3" s="28"/>
      <c r="I3" s="32" t="s">
        <v>106</v>
      </c>
    </row>
    <row r="4" spans="1:10" ht="25.05" customHeight="1" x14ac:dyDescent="0.25">
      <c r="A4" s="29"/>
      <c r="B4" s="28"/>
      <c r="I4" s="33" t="s">
        <v>118</v>
      </c>
    </row>
    <row r="5" spans="1:10" ht="25.05" customHeight="1" x14ac:dyDescent="0.25">
      <c r="A5" s="29"/>
      <c r="B5" s="31"/>
      <c r="I5" s="34" t="s">
        <v>107</v>
      </c>
      <c r="J5" s="28"/>
    </row>
    <row r="6" spans="1:10" ht="25.05" customHeight="1" x14ac:dyDescent="0.25">
      <c r="A6" s="29"/>
      <c r="B6" s="31"/>
      <c r="I6" s="34" t="s">
        <v>108</v>
      </c>
      <c r="J6" s="30"/>
    </row>
    <row r="7" spans="1:10" ht="25.05" customHeight="1" x14ac:dyDescent="0.25">
      <c r="A7" s="29"/>
      <c r="B7" s="31"/>
      <c r="I7" s="34" t="s">
        <v>109</v>
      </c>
      <c r="J7" s="29"/>
    </row>
    <row r="8" spans="1:10" ht="25.05" customHeight="1" x14ac:dyDescent="0.25">
      <c r="A8" s="29"/>
      <c r="B8" s="31"/>
      <c r="I8" s="34" t="s">
        <v>110</v>
      </c>
      <c r="J8" s="29"/>
    </row>
    <row r="9" spans="1:10" ht="25.05" customHeight="1" x14ac:dyDescent="0.25">
      <c r="A9" s="29"/>
      <c r="B9" s="31"/>
      <c r="I9" s="34" t="s">
        <v>111</v>
      </c>
      <c r="J9" s="29"/>
    </row>
    <row r="10" spans="1:10" ht="25.05" customHeight="1" x14ac:dyDescent="0.25">
      <c r="A10" s="29"/>
      <c r="B10" s="31"/>
      <c r="I10" s="34" t="s">
        <v>112</v>
      </c>
      <c r="J10" s="29"/>
    </row>
    <row r="11" spans="1:10" ht="25.05" customHeight="1" x14ac:dyDescent="0.25">
      <c r="A11" s="29"/>
      <c r="B11" s="31"/>
      <c r="I11" s="34" t="s">
        <v>113</v>
      </c>
      <c r="J11" s="29"/>
    </row>
    <row r="12" spans="1:10" ht="25.05" customHeight="1" x14ac:dyDescent="0.25">
      <c r="A12" s="29"/>
      <c r="B12" s="31"/>
      <c r="I12" s="34" t="s">
        <v>114</v>
      </c>
      <c r="J12" s="29"/>
    </row>
    <row r="13" spans="1:10" ht="25.05" customHeight="1" x14ac:dyDescent="0.25">
      <c r="A13" s="29"/>
      <c r="B13" s="31"/>
      <c r="I13" s="34" t="s">
        <v>115</v>
      </c>
      <c r="J13" s="29"/>
    </row>
    <row r="14" spans="1:10" ht="25.05" customHeight="1" x14ac:dyDescent="0.25">
      <c r="A14" s="29"/>
      <c r="B14" s="31"/>
      <c r="I14" s="34" t="s">
        <v>116</v>
      </c>
      <c r="J14" s="29"/>
    </row>
    <row r="15" spans="1:10" ht="25.05" customHeight="1" x14ac:dyDescent="0.25">
      <c r="A15" s="29"/>
      <c r="B15" s="31"/>
      <c r="I15" s="35" t="s">
        <v>117</v>
      </c>
      <c r="J15" s="29"/>
    </row>
    <row r="16" spans="1:10" ht="15" customHeight="1" x14ac:dyDescent="0.25">
      <c r="I16" s="29"/>
      <c r="J16" s="29"/>
    </row>
    <row r="17" spans="9:10" ht="15" customHeight="1" x14ac:dyDescent="0.25">
      <c r="I17" s="29"/>
      <c r="J17" s="2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Assignment 1 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luther benny</cp:lastModifiedBy>
  <dcterms:modified xsi:type="dcterms:W3CDTF">2026-09-11T14:23:26Z</dcterms:modified>
</cp:coreProperties>
</file>